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tgovexec-my.sharepoint.com/personal/john_shepard_ct_gov/Documents/Desktop/For Yale CCC/"/>
    </mc:Choice>
  </mc:AlternateContent>
  <xr:revisionPtr revIDLastSave="18" documentId="11_8A469896F635FA60CC31DE5691B0849670D9EDA2" xr6:coauthVersionLast="47" xr6:coauthVersionMax="47" xr10:uidLastSave="{0FFA3EF2-844F-4FEA-8EA1-2306BA0F949F}"/>
  <bookViews>
    <workbookView xWindow="-120" yWindow="-120" windowWidth="29040" windowHeight="17520" xr2:uid="{00000000-000D-0000-FFFF-FFFF00000000}"/>
  </bookViews>
  <sheets>
    <sheet name="Cumulative Mosquitoes per y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3" i="1"/>
  <c r="AA52" i="1" s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2" i="1"/>
</calcChain>
</file>

<file path=xl/sharedStrings.xml><?xml version="1.0" encoding="utf-8"?>
<sst xmlns="http://schemas.openxmlformats.org/spreadsheetml/2006/main" count="78" uniqueCount="78">
  <si>
    <t>Species</t>
  </si>
  <si>
    <t>Total Of # Mosquitoes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</si>
  <si>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</si>
  <si>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</si>
  <si>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</si>
  <si>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</si>
  <si>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</si>
  <si>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</si>
  <si>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</si>
  <si>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</si>
  <si>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</si>
  <si>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</si>
  <si>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</si>
  <si>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</si>
  <si>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</si>
  <si>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</si>
  <si>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</si>
  <si>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</si>
  <si>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</si>
  <si>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</si>
  <si>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</si>
  <si>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</si>
  <si>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</si>
  <si>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</si>
  <si>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</si>
  <si>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</si>
  <si>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</si>
  <si>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Aedes albopictus</t>
  </si>
  <si>
    <t>Aedes cinereus</t>
  </si>
  <si>
    <t>Aedes vexans</t>
  </si>
  <si>
    <t>Anopheles barberi</t>
  </si>
  <si>
    <t>Anopheles crucians</t>
  </si>
  <si>
    <t>Anopheles punctipennis</t>
  </si>
  <si>
    <t>Anopheles quadrimaculatus</t>
  </si>
  <si>
    <t>Anopheles walkeri</t>
  </si>
  <si>
    <t>Coquillettidia perturbans</t>
  </si>
  <si>
    <t>Culex erraticus</t>
  </si>
  <si>
    <t>Culex pipiens</t>
  </si>
  <si>
    <t>Culex restuans</t>
  </si>
  <si>
    <t>Culex salinarius</t>
  </si>
  <si>
    <t>Culex territans</t>
  </si>
  <si>
    <t>Culiseta inornata</t>
  </si>
  <si>
    <t>Culiseta melanura</t>
  </si>
  <si>
    <t>Culiseta minnesotae</t>
  </si>
  <si>
    <t>Culiseta morsitans</t>
  </si>
  <si>
    <t>Nothing in Trap</t>
  </si>
  <si>
    <t>Ochlerotatus abserratus</t>
  </si>
  <si>
    <t>Ochlerotatus atlanticus</t>
  </si>
  <si>
    <t>Ochlerotatus atropalpus</t>
  </si>
  <si>
    <t>Ochlerotatus aurifer</t>
  </si>
  <si>
    <t>Ochlerotatus canadensis</t>
  </si>
  <si>
    <t>Ochlerotatus cantator</t>
  </si>
  <si>
    <t>Ochlerotatus communis</t>
  </si>
  <si>
    <t>Ochlerotatus diantaeus</t>
  </si>
  <si>
    <t>Ochlerotatus dorsalis</t>
  </si>
  <si>
    <t>Ochlerotatus excrucians</t>
  </si>
  <si>
    <t>Ochlerotatus fitchii</t>
  </si>
  <si>
    <t>Ochlerotatus grossbecki</t>
  </si>
  <si>
    <t>Ochlerotatus hendersoni</t>
  </si>
  <si>
    <t>Ochlerotatus infirmatus</t>
  </si>
  <si>
    <t>Ochlerotatus intrudens</t>
  </si>
  <si>
    <t>Ochlerotatus japonicus</t>
  </si>
  <si>
    <t>Ochlerotatus provocans</t>
  </si>
  <si>
    <t>Ochlerotatus sollicitans</t>
  </si>
  <si>
    <t>Ochlerotatus sticticus</t>
  </si>
  <si>
    <t>Ochlerotatus stimulans</t>
  </si>
  <si>
    <t>Ochlerotatus taeniorhynchus</t>
  </si>
  <si>
    <t>Ochlerotatus thibaulti</t>
  </si>
  <si>
    <t>Ochlerotatus triseriatus</t>
  </si>
  <si>
    <t>Ochlerotatus trivittatus</t>
  </si>
  <si>
    <t>Orthopodomyia signifera</t>
  </si>
  <si>
    <t>Psorophora ciliata</t>
  </si>
  <si>
    <t>Psorophora columbiae</t>
  </si>
  <si>
    <t>Psorophora ferox</t>
  </si>
  <si>
    <t>Psorophora howardii</t>
  </si>
  <si>
    <t>Toxorhynchites r. septentrionalis</t>
  </si>
  <si>
    <t>Uranotaenia sapphirina</t>
  </si>
  <si>
    <t>Yearly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</si>
</sst>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0" tint="-0.249977111117893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0" fillId="0" borderId="1" xfId="0" applyBorder="1" applyAlignment="1"/>
    <xf numFmtId="0" fontId="3" fillId="4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2"/>
  <sheetViews>
    <sheetView tabSelected="1" topLeftCell="A11" workbookViewId="0">
      <selection activeCell="B2" sqref="B2:AA52"/>
    </sheetView>
  </sheetViews>
  <sheetFormatPr defaultRowHeight="15" x14ac:dyDescent="0.25"/>
  <cols>
    <col min="1" max="1" width="30.5703125" style="2" bestFit="1" customWidth="1"/>
    <col min="2" max="26" width="8.140625" style="2" customWidth="1"/>
    <col min="27" max="27" width="20.7109375" style="2" bestFit="1" customWidth="1"/>
    <col min="28" max="16384" width="9.140625" style="2"/>
  </cols>
  <sheetData>
    <row r="1" spans="1:2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3" t="s">
        <v>1</v>
      </c>
    </row>
    <row r="2" spans="1:27" x14ac:dyDescent="0.25">
      <c r="A2" s="4" t="s">
        <v>27</v>
      </c>
      <c r="B2" s="5"/>
      <c r="C2" s="5"/>
      <c r="D2" s="5"/>
      <c r="E2" s="5"/>
      <c r="F2" s="5"/>
      <c r="G2" s="6">
        <v>1</v>
      </c>
      <c r="H2" s="5"/>
      <c r="I2" s="5"/>
      <c r="J2" s="5"/>
      <c r="K2" s="6">
        <v>2</v>
      </c>
      <c r="L2" s="6">
        <v>12</v>
      </c>
      <c r="M2" s="6">
        <v>245</v>
      </c>
      <c r="N2" s="6">
        <v>547</v>
      </c>
      <c r="O2" s="6">
        <v>133</v>
      </c>
      <c r="P2" s="6">
        <v>220</v>
      </c>
      <c r="Q2" s="6">
        <v>2224</v>
      </c>
      <c r="R2" s="6">
        <v>2796</v>
      </c>
      <c r="S2" s="6">
        <v>2802</v>
      </c>
      <c r="T2" s="6">
        <v>1414</v>
      </c>
      <c r="U2" s="6">
        <v>2107</v>
      </c>
      <c r="V2" s="6">
        <v>1502</v>
      </c>
      <c r="W2" s="6">
        <v>1363</v>
      </c>
      <c r="X2" s="6">
        <v>1803</v>
      </c>
      <c r="Y2" s="6">
        <v>3614</v>
      </c>
      <c r="Z2" s="6">
        <v>1325</v>
      </c>
      <c r="AA2" s="7">
        <f>SUM(B2:Z2)</f>
        <v>22110</v>
      </c>
    </row>
    <row r="3" spans="1:27" x14ac:dyDescent="0.25">
      <c r="A3" s="4" t="s">
        <v>28</v>
      </c>
      <c r="B3" s="6">
        <v>6997</v>
      </c>
      <c r="C3" s="6">
        <v>12514</v>
      </c>
      <c r="D3" s="6">
        <v>19005</v>
      </c>
      <c r="E3" s="6">
        <v>13554</v>
      </c>
      <c r="F3" s="6">
        <v>7285</v>
      </c>
      <c r="G3" s="6">
        <v>12743</v>
      </c>
      <c r="H3" s="6">
        <v>8651</v>
      </c>
      <c r="I3" s="6">
        <v>15453</v>
      </c>
      <c r="J3" s="6">
        <v>15294</v>
      </c>
      <c r="K3" s="6">
        <v>4639</v>
      </c>
      <c r="L3" s="6">
        <v>16774</v>
      </c>
      <c r="M3" s="6">
        <v>5183</v>
      </c>
      <c r="N3" s="6">
        <v>9558</v>
      </c>
      <c r="O3" s="6">
        <v>12073</v>
      </c>
      <c r="P3" s="6">
        <v>7722</v>
      </c>
      <c r="Q3" s="6">
        <v>3806</v>
      </c>
      <c r="R3" s="6">
        <v>10746</v>
      </c>
      <c r="S3" s="6">
        <v>22879</v>
      </c>
      <c r="T3" s="6">
        <v>7806</v>
      </c>
      <c r="U3" s="6">
        <v>7050</v>
      </c>
      <c r="V3" s="6">
        <v>28625</v>
      </c>
      <c r="W3" s="6">
        <v>13684</v>
      </c>
      <c r="X3" s="6">
        <v>16385</v>
      </c>
      <c r="Y3" s="6">
        <v>6933</v>
      </c>
      <c r="Z3" s="6">
        <v>12993</v>
      </c>
      <c r="AA3" s="7">
        <f>SUM(B3:Z3)</f>
        <v>298352</v>
      </c>
    </row>
    <row r="4" spans="1:27" x14ac:dyDescent="0.25">
      <c r="A4" s="4" t="s">
        <v>29</v>
      </c>
      <c r="B4" s="6">
        <v>15244</v>
      </c>
      <c r="C4" s="6">
        <v>13398</v>
      </c>
      <c r="D4" s="6">
        <v>25402</v>
      </c>
      <c r="E4" s="6">
        <v>16636</v>
      </c>
      <c r="F4" s="6">
        <v>9818</v>
      </c>
      <c r="G4" s="6">
        <v>23723</v>
      </c>
      <c r="H4" s="6">
        <v>7297</v>
      </c>
      <c r="I4" s="6">
        <v>25077</v>
      </c>
      <c r="J4" s="6">
        <v>26462</v>
      </c>
      <c r="K4" s="6">
        <v>7604</v>
      </c>
      <c r="L4" s="6">
        <v>39509</v>
      </c>
      <c r="M4" s="6">
        <v>16368</v>
      </c>
      <c r="N4" s="6">
        <v>27182</v>
      </c>
      <c r="O4" s="6">
        <v>17551</v>
      </c>
      <c r="P4" s="6">
        <v>10289</v>
      </c>
      <c r="Q4" s="6">
        <v>7365</v>
      </c>
      <c r="R4" s="6">
        <v>5901</v>
      </c>
      <c r="S4" s="6">
        <v>32927</v>
      </c>
      <c r="T4" s="6">
        <v>11378</v>
      </c>
      <c r="U4" s="6">
        <v>8032</v>
      </c>
      <c r="V4" s="6">
        <v>53897</v>
      </c>
      <c r="W4" s="6">
        <v>9486</v>
      </c>
      <c r="X4" s="6">
        <v>22850</v>
      </c>
      <c r="Y4" s="6">
        <v>12424</v>
      </c>
      <c r="Z4" s="6">
        <v>16468</v>
      </c>
      <c r="AA4" s="7">
        <f>SUM(B4:Z4)</f>
        <v>462288</v>
      </c>
    </row>
    <row r="5" spans="1:27" x14ac:dyDescent="0.25">
      <c r="A5" s="4" t="s">
        <v>30</v>
      </c>
      <c r="B5" s="6">
        <v>17</v>
      </c>
      <c r="C5" s="6">
        <v>14</v>
      </c>
      <c r="D5" s="6">
        <v>16</v>
      </c>
      <c r="E5" s="6">
        <v>35</v>
      </c>
      <c r="F5" s="6">
        <v>9</v>
      </c>
      <c r="G5" s="5"/>
      <c r="H5" s="6">
        <v>5</v>
      </c>
      <c r="I5" s="6">
        <v>9</v>
      </c>
      <c r="J5" s="6">
        <v>5</v>
      </c>
      <c r="K5" s="6">
        <v>1</v>
      </c>
      <c r="L5" s="6">
        <v>6</v>
      </c>
      <c r="M5" s="5"/>
      <c r="N5" s="5"/>
      <c r="O5" s="6">
        <v>1</v>
      </c>
      <c r="P5" s="6">
        <v>6</v>
      </c>
      <c r="Q5" s="6">
        <v>8</v>
      </c>
      <c r="R5" s="6">
        <v>6</v>
      </c>
      <c r="S5" s="6">
        <v>4</v>
      </c>
      <c r="T5" s="6">
        <v>7</v>
      </c>
      <c r="U5" s="6">
        <v>4</v>
      </c>
      <c r="V5" s="6">
        <v>2</v>
      </c>
      <c r="W5" s="6">
        <v>6</v>
      </c>
      <c r="X5" s="6">
        <v>7</v>
      </c>
      <c r="Y5" s="6">
        <v>12</v>
      </c>
      <c r="Z5" s="6">
        <v>3</v>
      </c>
      <c r="AA5" s="7">
        <f>SUM(B5:Z5)</f>
        <v>183</v>
      </c>
    </row>
    <row r="6" spans="1:27" x14ac:dyDescent="0.25">
      <c r="A6" s="4" t="s">
        <v>31</v>
      </c>
      <c r="B6" s="5"/>
      <c r="C6" s="6">
        <v>39</v>
      </c>
      <c r="D6" s="6">
        <v>6</v>
      </c>
      <c r="E6" s="5"/>
      <c r="F6" s="5"/>
      <c r="G6" s="5"/>
      <c r="H6" s="6">
        <v>12</v>
      </c>
      <c r="I6" s="6">
        <v>25</v>
      </c>
      <c r="J6" s="6">
        <v>4</v>
      </c>
      <c r="K6" s="6">
        <v>1</v>
      </c>
      <c r="L6" s="6">
        <v>42</v>
      </c>
      <c r="M6" s="6">
        <v>632</v>
      </c>
      <c r="N6" s="6">
        <v>127</v>
      </c>
      <c r="O6" s="6">
        <v>19</v>
      </c>
      <c r="P6" s="6">
        <v>34</v>
      </c>
      <c r="Q6" s="6">
        <v>103</v>
      </c>
      <c r="R6" s="6">
        <v>397</v>
      </c>
      <c r="S6" s="6">
        <v>96</v>
      </c>
      <c r="T6" s="6">
        <v>690</v>
      </c>
      <c r="U6" s="6">
        <v>316</v>
      </c>
      <c r="V6" s="6">
        <v>2382</v>
      </c>
      <c r="W6" s="6">
        <v>944</v>
      </c>
      <c r="X6" s="6">
        <v>9002</v>
      </c>
      <c r="Y6" s="6">
        <v>3866</v>
      </c>
      <c r="Z6" s="6">
        <v>307</v>
      </c>
      <c r="AA6" s="7">
        <f>SUM(B6:Z6)</f>
        <v>19044</v>
      </c>
    </row>
    <row r="7" spans="1:27" x14ac:dyDescent="0.25">
      <c r="A7" s="4" t="s">
        <v>32</v>
      </c>
      <c r="B7" s="6">
        <v>2768</v>
      </c>
      <c r="C7" s="6">
        <v>1548</v>
      </c>
      <c r="D7" s="6">
        <v>3681</v>
      </c>
      <c r="E7" s="6">
        <v>1391</v>
      </c>
      <c r="F7" s="6">
        <v>2071</v>
      </c>
      <c r="G7" s="6">
        <v>1853</v>
      </c>
      <c r="H7" s="6">
        <v>1065</v>
      </c>
      <c r="I7" s="6">
        <v>2719</v>
      </c>
      <c r="J7" s="6">
        <v>5573</v>
      </c>
      <c r="K7" s="6">
        <v>1980</v>
      </c>
      <c r="L7" s="6">
        <v>4338</v>
      </c>
      <c r="M7" s="6">
        <v>4403</v>
      </c>
      <c r="N7" s="6">
        <v>2889</v>
      </c>
      <c r="O7" s="6">
        <v>2865</v>
      </c>
      <c r="P7" s="6">
        <v>4022</v>
      </c>
      <c r="Q7" s="6">
        <v>2869</v>
      </c>
      <c r="R7" s="6">
        <v>3473</v>
      </c>
      <c r="S7" s="6">
        <v>6196</v>
      </c>
      <c r="T7" s="6">
        <v>2596</v>
      </c>
      <c r="U7" s="6">
        <v>2419</v>
      </c>
      <c r="V7" s="6">
        <v>8661</v>
      </c>
      <c r="W7" s="6">
        <v>6090</v>
      </c>
      <c r="X7" s="6">
        <v>10553</v>
      </c>
      <c r="Y7" s="6">
        <v>5273</v>
      </c>
      <c r="Z7" s="6">
        <v>4796</v>
      </c>
      <c r="AA7" s="7">
        <f>SUM(B7:Z7)</f>
        <v>96092</v>
      </c>
    </row>
    <row r="8" spans="1:27" x14ac:dyDescent="0.25">
      <c r="A8" s="4" t="s">
        <v>33</v>
      </c>
      <c r="B8" s="6">
        <v>423</v>
      </c>
      <c r="C8" s="6">
        <v>520</v>
      </c>
      <c r="D8" s="6">
        <v>385</v>
      </c>
      <c r="E8" s="6">
        <v>221</v>
      </c>
      <c r="F8" s="6">
        <v>613</v>
      </c>
      <c r="G8" s="6">
        <v>358</v>
      </c>
      <c r="H8" s="6">
        <v>318</v>
      </c>
      <c r="I8" s="6">
        <v>439</v>
      </c>
      <c r="J8" s="6">
        <v>607</v>
      </c>
      <c r="K8" s="6">
        <v>843</v>
      </c>
      <c r="L8" s="6">
        <v>950</v>
      </c>
      <c r="M8" s="6">
        <v>838</v>
      </c>
      <c r="N8" s="6">
        <v>916</v>
      </c>
      <c r="O8" s="6">
        <v>945</v>
      </c>
      <c r="P8" s="6">
        <v>1122</v>
      </c>
      <c r="Q8" s="6">
        <v>771</v>
      </c>
      <c r="R8" s="6">
        <v>669</v>
      </c>
      <c r="S8" s="6">
        <v>1093</v>
      </c>
      <c r="T8" s="6">
        <v>794</v>
      </c>
      <c r="U8" s="6">
        <v>888</v>
      </c>
      <c r="V8" s="6">
        <v>826</v>
      </c>
      <c r="W8" s="6">
        <v>905</v>
      </c>
      <c r="X8" s="6">
        <v>1403</v>
      </c>
      <c r="Y8" s="6">
        <v>1535</v>
      </c>
      <c r="Z8" s="6">
        <v>1876</v>
      </c>
      <c r="AA8" s="7">
        <f>SUM(B8:Z8)</f>
        <v>20258</v>
      </c>
    </row>
    <row r="9" spans="1:27" x14ac:dyDescent="0.25">
      <c r="A9" s="4" t="s">
        <v>34</v>
      </c>
      <c r="B9" s="6">
        <v>1052</v>
      </c>
      <c r="C9" s="6">
        <v>632</v>
      </c>
      <c r="D9" s="6">
        <v>1945</v>
      </c>
      <c r="E9" s="6">
        <v>495</v>
      </c>
      <c r="F9" s="6">
        <v>546</v>
      </c>
      <c r="G9" s="6">
        <v>2065</v>
      </c>
      <c r="H9" s="6">
        <v>859</v>
      </c>
      <c r="I9" s="6">
        <v>689</v>
      </c>
      <c r="J9" s="6">
        <v>2381</v>
      </c>
      <c r="K9" s="6">
        <v>1719</v>
      </c>
      <c r="L9" s="6">
        <v>4603</v>
      </c>
      <c r="M9" s="6">
        <v>1470</v>
      </c>
      <c r="N9" s="6">
        <v>3585</v>
      </c>
      <c r="O9" s="6">
        <v>7180</v>
      </c>
      <c r="P9" s="6">
        <v>4936</v>
      </c>
      <c r="Q9" s="6">
        <v>4541</v>
      </c>
      <c r="R9" s="6">
        <v>3922</v>
      </c>
      <c r="S9" s="6">
        <v>4135</v>
      </c>
      <c r="T9" s="6">
        <v>2384</v>
      </c>
      <c r="U9" s="6">
        <v>2095</v>
      </c>
      <c r="V9" s="6">
        <v>2989</v>
      </c>
      <c r="W9" s="6">
        <v>2021</v>
      </c>
      <c r="X9" s="6">
        <v>2401</v>
      </c>
      <c r="Y9" s="6">
        <v>2279</v>
      </c>
      <c r="Z9" s="6">
        <v>2886</v>
      </c>
      <c r="AA9" s="7">
        <f>SUM(B9:Z9)</f>
        <v>63810</v>
      </c>
    </row>
    <row r="10" spans="1:27" x14ac:dyDescent="0.25">
      <c r="A10" s="4" t="s">
        <v>35</v>
      </c>
      <c r="B10" s="6">
        <v>26246</v>
      </c>
      <c r="C10" s="6">
        <v>25442</v>
      </c>
      <c r="D10" s="6">
        <v>33120</v>
      </c>
      <c r="E10" s="6">
        <v>30241</v>
      </c>
      <c r="F10" s="6">
        <v>25517</v>
      </c>
      <c r="G10" s="6">
        <v>17921</v>
      </c>
      <c r="H10" s="6">
        <v>26819</v>
      </c>
      <c r="I10" s="6">
        <v>20185</v>
      </c>
      <c r="J10" s="6">
        <v>35389</v>
      </c>
      <c r="K10" s="6">
        <v>22883</v>
      </c>
      <c r="L10" s="6">
        <v>33790</v>
      </c>
      <c r="M10" s="6">
        <v>37969</v>
      </c>
      <c r="N10" s="6">
        <v>25045</v>
      </c>
      <c r="O10" s="6">
        <v>66688</v>
      </c>
      <c r="P10" s="6">
        <v>37378</v>
      </c>
      <c r="Q10" s="6">
        <v>44491</v>
      </c>
      <c r="R10" s="6">
        <v>27475</v>
      </c>
      <c r="S10" s="6">
        <v>69622</v>
      </c>
      <c r="T10" s="6">
        <v>62916</v>
      </c>
      <c r="U10" s="6">
        <v>61466</v>
      </c>
      <c r="V10" s="6">
        <v>56884</v>
      </c>
      <c r="W10" s="6">
        <v>78019</v>
      </c>
      <c r="X10" s="6">
        <v>50764</v>
      </c>
      <c r="Y10" s="6">
        <v>79227</v>
      </c>
      <c r="Z10" s="6">
        <v>70448</v>
      </c>
      <c r="AA10" s="7">
        <f>SUM(B10:Z10)</f>
        <v>1065945</v>
      </c>
    </row>
    <row r="11" spans="1:27" x14ac:dyDescent="0.25">
      <c r="A11" s="4" t="s">
        <v>36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>
        <v>24</v>
      </c>
      <c r="N11" s="6">
        <v>43</v>
      </c>
      <c r="O11" s="6">
        <v>9</v>
      </c>
      <c r="P11" s="6">
        <v>18</v>
      </c>
      <c r="Q11" s="6">
        <v>275</v>
      </c>
      <c r="R11" s="6">
        <v>216</v>
      </c>
      <c r="S11" s="6">
        <v>282</v>
      </c>
      <c r="T11" s="6">
        <v>304</v>
      </c>
      <c r="U11" s="6">
        <v>440</v>
      </c>
      <c r="V11" s="6">
        <v>148</v>
      </c>
      <c r="W11" s="6">
        <v>823</v>
      </c>
      <c r="X11" s="6">
        <v>771</v>
      </c>
      <c r="Y11" s="6">
        <v>2318</v>
      </c>
      <c r="Z11" s="6">
        <v>1753</v>
      </c>
      <c r="AA11" s="7">
        <f>SUM(B11:Z11)</f>
        <v>7424</v>
      </c>
    </row>
    <row r="12" spans="1:27" x14ac:dyDescent="0.25">
      <c r="A12" s="4" t="s">
        <v>37</v>
      </c>
      <c r="B12" s="6">
        <v>3927</v>
      </c>
      <c r="C12" s="6">
        <v>8595</v>
      </c>
      <c r="D12" s="6">
        <v>3341</v>
      </c>
      <c r="E12" s="6">
        <v>7371</v>
      </c>
      <c r="F12" s="6">
        <v>9016</v>
      </c>
      <c r="G12" s="6">
        <v>36171</v>
      </c>
      <c r="H12" s="6">
        <v>37021</v>
      </c>
      <c r="I12" s="6">
        <v>19196</v>
      </c>
      <c r="J12" s="6">
        <v>20994</v>
      </c>
      <c r="K12" s="6">
        <v>22187</v>
      </c>
      <c r="L12" s="6">
        <v>24920</v>
      </c>
      <c r="M12" s="6">
        <v>25984</v>
      </c>
      <c r="N12" s="6">
        <v>9643</v>
      </c>
      <c r="O12" s="6">
        <v>9494</v>
      </c>
      <c r="P12" s="6">
        <v>13411</v>
      </c>
      <c r="Q12" s="6">
        <v>26659</v>
      </c>
      <c r="R12" s="6">
        <v>14080</v>
      </c>
      <c r="S12" s="6">
        <v>23996</v>
      </c>
      <c r="T12" s="6">
        <v>9829</v>
      </c>
      <c r="U12" s="6">
        <v>18201</v>
      </c>
      <c r="V12" s="6">
        <v>21331</v>
      </c>
      <c r="W12" s="6">
        <v>19903</v>
      </c>
      <c r="X12" s="6">
        <v>27637</v>
      </c>
      <c r="Y12" s="6">
        <v>24754</v>
      </c>
      <c r="Z12" s="6">
        <v>20428</v>
      </c>
      <c r="AA12" s="7">
        <f>SUM(B12:Z12)</f>
        <v>458089</v>
      </c>
    </row>
    <row r="13" spans="1:27" x14ac:dyDescent="0.25">
      <c r="A13" s="4" t="s">
        <v>38</v>
      </c>
      <c r="B13" s="6">
        <v>5143</v>
      </c>
      <c r="C13" s="6">
        <v>6053</v>
      </c>
      <c r="D13" s="6">
        <v>8022</v>
      </c>
      <c r="E13" s="6">
        <v>2864</v>
      </c>
      <c r="F13" s="6">
        <v>4344</v>
      </c>
      <c r="G13" s="6">
        <v>7812</v>
      </c>
      <c r="H13" s="6">
        <v>5831</v>
      </c>
      <c r="I13" s="6">
        <v>18719</v>
      </c>
      <c r="J13" s="6">
        <v>14609</v>
      </c>
      <c r="K13" s="6">
        <v>6136</v>
      </c>
      <c r="L13" s="6">
        <v>10743</v>
      </c>
      <c r="M13" s="6">
        <v>4182</v>
      </c>
      <c r="N13" s="6">
        <v>9283</v>
      </c>
      <c r="O13" s="6">
        <v>6996</v>
      </c>
      <c r="P13" s="6">
        <v>8744</v>
      </c>
      <c r="Q13" s="6">
        <v>8929</v>
      </c>
      <c r="R13" s="6">
        <v>6781</v>
      </c>
      <c r="S13" s="6">
        <v>10430</v>
      </c>
      <c r="T13" s="6">
        <v>10276</v>
      </c>
      <c r="U13" s="6">
        <v>6886</v>
      </c>
      <c r="V13" s="6">
        <v>14871</v>
      </c>
      <c r="W13" s="6">
        <v>6168</v>
      </c>
      <c r="X13" s="6">
        <v>22236</v>
      </c>
      <c r="Y13" s="6">
        <v>8898</v>
      </c>
      <c r="Z13" s="6">
        <v>6093</v>
      </c>
      <c r="AA13" s="7">
        <f>SUM(B13:Z13)</f>
        <v>221049</v>
      </c>
    </row>
    <row r="14" spans="1:27" x14ac:dyDescent="0.25">
      <c r="A14" s="4" t="s">
        <v>39</v>
      </c>
      <c r="B14" s="6">
        <v>3709</v>
      </c>
      <c r="C14" s="6">
        <v>4542</v>
      </c>
      <c r="D14" s="6">
        <v>16756</v>
      </c>
      <c r="E14" s="6">
        <v>9732</v>
      </c>
      <c r="F14" s="6">
        <v>4262</v>
      </c>
      <c r="G14" s="6">
        <v>12440</v>
      </c>
      <c r="H14" s="6">
        <v>13660</v>
      </c>
      <c r="I14" s="6">
        <v>14450</v>
      </c>
      <c r="J14" s="6">
        <v>12605</v>
      </c>
      <c r="K14" s="6">
        <v>4873</v>
      </c>
      <c r="L14" s="6">
        <v>27415</v>
      </c>
      <c r="M14" s="6">
        <v>26203</v>
      </c>
      <c r="N14" s="6">
        <v>12630</v>
      </c>
      <c r="O14" s="6">
        <v>4689</v>
      </c>
      <c r="P14" s="6">
        <v>14301</v>
      </c>
      <c r="Q14" s="6">
        <v>14826</v>
      </c>
      <c r="R14" s="6">
        <v>30753</v>
      </c>
      <c r="S14" s="6">
        <v>23678</v>
      </c>
      <c r="T14" s="6">
        <v>38776</v>
      </c>
      <c r="U14" s="6">
        <v>9830</v>
      </c>
      <c r="V14" s="6">
        <v>16797</v>
      </c>
      <c r="W14" s="6">
        <v>2068</v>
      </c>
      <c r="X14" s="6">
        <v>23964</v>
      </c>
      <c r="Y14" s="6">
        <v>10608</v>
      </c>
      <c r="Z14" s="6">
        <v>13336</v>
      </c>
      <c r="AA14" s="7">
        <f>SUM(B14:Z14)</f>
        <v>366903</v>
      </c>
    </row>
    <row r="15" spans="1:27" x14ac:dyDescent="0.25">
      <c r="A15" s="4" t="s">
        <v>40</v>
      </c>
      <c r="B15" s="6">
        <v>164</v>
      </c>
      <c r="C15" s="6">
        <v>29</v>
      </c>
      <c r="D15" s="6">
        <v>192</v>
      </c>
      <c r="E15" s="6">
        <v>56</v>
      </c>
      <c r="F15" s="6">
        <v>59</v>
      </c>
      <c r="G15" s="6">
        <v>143</v>
      </c>
      <c r="H15" s="6">
        <v>52</v>
      </c>
      <c r="I15" s="6">
        <v>92</v>
      </c>
      <c r="J15" s="6">
        <v>250</v>
      </c>
      <c r="K15" s="6">
        <v>38</v>
      </c>
      <c r="L15" s="6">
        <v>215</v>
      </c>
      <c r="M15" s="6">
        <v>94</v>
      </c>
      <c r="N15" s="6">
        <v>148</v>
      </c>
      <c r="O15" s="6">
        <v>68</v>
      </c>
      <c r="P15" s="6">
        <v>196</v>
      </c>
      <c r="Q15" s="6">
        <v>82</v>
      </c>
      <c r="R15" s="6">
        <v>322</v>
      </c>
      <c r="S15" s="6">
        <v>249</v>
      </c>
      <c r="T15" s="6">
        <v>253</v>
      </c>
      <c r="U15" s="6">
        <v>92</v>
      </c>
      <c r="V15" s="6">
        <v>295</v>
      </c>
      <c r="W15" s="6">
        <v>97</v>
      </c>
      <c r="X15" s="6">
        <v>191</v>
      </c>
      <c r="Y15" s="6">
        <v>214</v>
      </c>
      <c r="Z15" s="6">
        <v>199</v>
      </c>
      <c r="AA15" s="7">
        <f>SUM(B15:Z15)</f>
        <v>3790</v>
      </c>
    </row>
    <row r="16" spans="1:27" x14ac:dyDescent="0.25">
      <c r="A16" s="4" t="s">
        <v>41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>
        <v>1</v>
      </c>
      <c r="AA16" s="7">
        <f>SUM(B16:Z16)</f>
        <v>1</v>
      </c>
    </row>
    <row r="17" spans="1:27" x14ac:dyDescent="0.25">
      <c r="A17" s="4" t="s">
        <v>42</v>
      </c>
      <c r="B17" s="6">
        <v>5161</v>
      </c>
      <c r="C17" s="6">
        <v>3026</v>
      </c>
      <c r="D17" s="6">
        <v>16741</v>
      </c>
      <c r="E17" s="6">
        <v>7884</v>
      </c>
      <c r="F17" s="6">
        <v>4624</v>
      </c>
      <c r="G17" s="6">
        <v>6495</v>
      </c>
      <c r="H17" s="6">
        <v>4974</v>
      </c>
      <c r="I17" s="6">
        <v>6409</v>
      </c>
      <c r="J17" s="6">
        <v>25595</v>
      </c>
      <c r="K17" s="6">
        <v>5525</v>
      </c>
      <c r="L17" s="6">
        <v>13324</v>
      </c>
      <c r="M17" s="6">
        <v>8779</v>
      </c>
      <c r="N17" s="6">
        <v>12124</v>
      </c>
      <c r="O17" s="6">
        <v>5401</v>
      </c>
      <c r="P17" s="6">
        <v>7361</v>
      </c>
      <c r="Q17" s="6">
        <v>4455</v>
      </c>
      <c r="R17" s="6">
        <v>12153</v>
      </c>
      <c r="S17" s="6">
        <v>16655</v>
      </c>
      <c r="T17" s="6">
        <v>21880</v>
      </c>
      <c r="U17" s="6">
        <v>9674</v>
      </c>
      <c r="V17" s="6">
        <v>12611</v>
      </c>
      <c r="W17" s="6">
        <v>9899</v>
      </c>
      <c r="X17" s="6">
        <v>22244</v>
      </c>
      <c r="Y17" s="6">
        <v>26185</v>
      </c>
      <c r="Z17" s="6">
        <v>7321</v>
      </c>
      <c r="AA17" s="7">
        <f>SUM(B17:Z17)</f>
        <v>276500</v>
      </c>
    </row>
    <row r="18" spans="1:27" x14ac:dyDescent="0.25">
      <c r="A18" s="4" t="s">
        <v>43</v>
      </c>
      <c r="B18" s="6">
        <v>51</v>
      </c>
      <c r="C18" s="6">
        <v>2</v>
      </c>
      <c r="D18" s="6">
        <v>67</v>
      </c>
      <c r="E18" s="6">
        <v>51</v>
      </c>
      <c r="F18" s="6">
        <v>59</v>
      </c>
      <c r="G18" s="6">
        <v>208</v>
      </c>
      <c r="H18" s="6">
        <v>16</v>
      </c>
      <c r="I18" s="6">
        <v>9</v>
      </c>
      <c r="J18" s="6">
        <v>44</v>
      </c>
      <c r="K18" s="6">
        <v>325</v>
      </c>
      <c r="L18" s="6">
        <v>132</v>
      </c>
      <c r="M18" s="6">
        <v>9</v>
      </c>
      <c r="N18" s="6">
        <v>5</v>
      </c>
      <c r="O18" s="6">
        <v>43</v>
      </c>
      <c r="P18" s="6">
        <v>14</v>
      </c>
      <c r="Q18" s="6">
        <v>6</v>
      </c>
      <c r="R18" s="6">
        <v>9</v>
      </c>
      <c r="S18" s="6">
        <v>77</v>
      </c>
      <c r="T18" s="6">
        <v>11</v>
      </c>
      <c r="U18" s="6">
        <v>1</v>
      </c>
      <c r="V18" s="6">
        <v>5</v>
      </c>
      <c r="W18" s="6">
        <v>4</v>
      </c>
      <c r="X18" s="6">
        <v>8</v>
      </c>
      <c r="Y18" s="6">
        <v>5</v>
      </c>
      <c r="Z18" s="5"/>
      <c r="AA18" s="7">
        <f>SUM(B18:Z18)</f>
        <v>1161</v>
      </c>
    </row>
    <row r="19" spans="1:27" x14ac:dyDescent="0.25">
      <c r="A19" s="4" t="s">
        <v>44</v>
      </c>
      <c r="B19" s="6">
        <v>126</v>
      </c>
      <c r="C19" s="6">
        <v>139</v>
      </c>
      <c r="D19" s="6">
        <v>395</v>
      </c>
      <c r="E19" s="6">
        <v>107</v>
      </c>
      <c r="F19" s="6">
        <v>36</v>
      </c>
      <c r="G19" s="6">
        <v>67</v>
      </c>
      <c r="H19" s="6">
        <v>76</v>
      </c>
      <c r="I19" s="6">
        <v>168</v>
      </c>
      <c r="J19" s="6">
        <v>290</v>
      </c>
      <c r="K19" s="6">
        <v>29</v>
      </c>
      <c r="L19" s="6">
        <v>107</v>
      </c>
      <c r="M19" s="6">
        <v>13</v>
      </c>
      <c r="N19" s="6">
        <v>23</v>
      </c>
      <c r="O19" s="6">
        <v>27</v>
      </c>
      <c r="P19" s="6">
        <v>70</v>
      </c>
      <c r="Q19" s="6">
        <v>60</v>
      </c>
      <c r="R19" s="6">
        <v>232</v>
      </c>
      <c r="S19" s="6">
        <v>328</v>
      </c>
      <c r="T19" s="6">
        <v>60</v>
      </c>
      <c r="U19" s="6">
        <v>53</v>
      </c>
      <c r="V19" s="6">
        <v>83</v>
      </c>
      <c r="W19" s="6">
        <v>12</v>
      </c>
      <c r="X19" s="6">
        <v>24</v>
      </c>
      <c r="Y19" s="6">
        <v>2</v>
      </c>
      <c r="Z19" s="6">
        <v>8</v>
      </c>
      <c r="AA19" s="7">
        <f>SUM(B19:Z19)</f>
        <v>2535</v>
      </c>
    </row>
    <row r="20" spans="1:27" x14ac:dyDescent="0.25">
      <c r="A20" s="4" t="s">
        <v>45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7">
        <f>SUM(B20:Z20)</f>
        <v>0</v>
      </c>
    </row>
    <row r="21" spans="1:27" x14ac:dyDescent="0.25">
      <c r="A21" s="4" t="s">
        <v>46</v>
      </c>
      <c r="B21" s="6">
        <v>438</v>
      </c>
      <c r="C21" s="6">
        <v>811</v>
      </c>
      <c r="D21" s="6">
        <v>4448</v>
      </c>
      <c r="E21" s="6">
        <v>2472</v>
      </c>
      <c r="F21" s="6">
        <v>1742</v>
      </c>
      <c r="G21" s="6">
        <v>2457</v>
      </c>
      <c r="H21" s="6">
        <v>2978</v>
      </c>
      <c r="I21" s="6">
        <v>2993</v>
      </c>
      <c r="J21" s="6">
        <v>3873</v>
      </c>
      <c r="K21" s="6">
        <v>1181</v>
      </c>
      <c r="L21" s="6">
        <v>4190</v>
      </c>
      <c r="M21" s="6">
        <v>653</v>
      </c>
      <c r="N21" s="6">
        <v>1094</v>
      </c>
      <c r="O21" s="6">
        <v>2991</v>
      </c>
      <c r="P21" s="6">
        <v>3150</v>
      </c>
      <c r="Q21" s="6">
        <v>2485</v>
      </c>
      <c r="R21" s="6">
        <v>2485</v>
      </c>
      <c r="S21" s="6">
        <v>3907</v>
      </c>
      <c r="T21" s="6">
        <v>3265</v>
      </c>
      <c r="U21" s="6">
        <v>2242</v>
      </c>
      <c r="V21" s="6">
        <v>1275</v>
      </c>
      <c r="W21" s="6">
        <v>1082</v>
      </c>
      <c r="X21" s="6">
        <v>1541</v>
      </c>
      <c r="Y21" s="6">
        <v>346</v>
      </c>
      <c r="Z21" s="6">
        <v>980</v>
      </c>
      <c r="AA21" s="7">
        <f>SUM(B21:Z21)</f>
        <v>55079</v>
      </c>
    </row>
    <row r="22" spans="1:27" x14ac:dyDescent="0.25">
      <c r="A22" s="4" t="s">
        <v>47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6">
        <v>3</v>
      </c>
      <c r="P22" s="5"/>
      <c r="Q22" s="6">
        <v>5</v>
      </c>
      <c r="R22" s="6">
        <v>2</v>
      </c>
      <c r="S22" s="6">
        <v>23</v>
      </c>
      <c r="T22" s="6">
        <v>8</v>
      </c>
      <c r="U22" s="6">
        <v>1</v>
      </c>
      <c r="V22" s="6">
        <v>256</v>
      </c>
      <c r="W22" s="6">
        <v>70</v>
      </c>
      <c r="X22" s="6">
        <v>321</v>
      </c>
      <c r="Y22" s="6">
        <v>210</v>
      </c>
      <c r="Z22" s="6">
        <v>50</v>
      </c>
      <c r="AA22" s="7">
        <f>SUM(B22:Z22)</f>
        <v>949</v>
      </c>
    </row>
    <row r="23" spans="1:27" x14ac:dyDescent="0.25">
      <c r="A23" s="4" t="s">
        <v>48</v>
      </c>
      <c r="B23" s="6">
        <v>2</v>
      </c>
      <c r="C23" s="5"/>
      <c r="D23" s="6">
        <v>1</v>
      </c>
      <c r="E23" s="6">
        <v>9</v>
      </c>
      <c r="F23" s="5"/>
      <c r="G23" s="6">
        <v>3</v>
      </c>
      <c r="H23" s="5"/>
      <c r="I23" s="6">
        <v>2</v>
      </c>
      <c r="J23" s="5"/>
      <c r="K23" s="6">
        <v>1</v>
      </c>
      <c r="L23" s="6">
        <v>1</v>
      </c>
      <c r="M23" s="6">
        <v>2</v>
      </c>
      <c r="N23" s="6">
        <v>1</v>
      </c>
      <c r="O23" s="5"/>
      <c r="P23" s="5"/>
      <c r="Q23" s="6">
        <v>1</v>
      </c>
      <c r="R23" s="5"/>
      <c r="S23" s="6">
        <v>1</v>
      </c>
      <c r="T23" s="5"/>
      <c r="U23" s="5"/>
      <c r="V23" s="5"/>
      <c r="W23" s="6">
        <v>2</v>
      </c>
      <c r="X23" s="5"/>
      <c r="Y23" s="5"/>
      <c r="Z23" s="5"/>
      <c r="AA23" s="7">
        <f>SUM(B23:Z23)</f>
        <v>26</v>
      </c>
    </row>
    <row r="24" spans="1:27" x14ac:dyDescent="0.25">
      <c r="A24" s="4" t="s">
        <v>49</v>
      </c>
      <c r="B24" s="6">
        <v>1903</v>
      </c>
      <c r="C24" s="6">
        <v>1007</v>
      </c>
      <c r="D24" s="6">
        <v>3502</v>
      </c>
      <c r="E24" s="6">
        <v>1750</v>
      </c>
      <c r="F24" s="6">
        <v>2310</v>
      </c>
      <c r="G24" s="6">
        <v>1056</v>
      </c>
      <c r="H24" s="6">
        <v>1426</v>
      </c>
      <c r="I24" s="6">
        <v>3124</v>
      </c>
      <c r="J24" s="6">
        <v>2130</v>
      </c>
      <c r="K24" s="6">
        <v>645</v>
      </c>
      <c r="L24" s="6">
        <v>4019</v>
      </c>
      <c r="M24" s="6">
        <v>502</v>
      </c>
      <c r="N24" s="6">
        <v>1438</v>
      </c>
      <c r="O24" s="6">
        <v>6110</v>
      </c>
      <c r="P24" s="6">
        <v>4156</v>
      </c>
      <c r="Q24" s="6">
        <v>4887</v>
      </c>
      <c r="R24" s="6">
        <v>4734</v>
      </c>
      <c r="S24" s="6">
        <v>5263</v>
      </c>
      <c r="T24" s="6">
        <v>1846</v>
      </c>
      <c r="U24" s="6">
        <v>3315</v>
      </c>
      <c r="V24" s="6">
        <v>3752</v>
      </c>
      <c r="W24" s="6">
        <v>4746</v>
      </c>
      <c r="X24" s="6">
        <v>2785</v>
      </c>
      <c r="Y24" s="6">
        <v>2740</v>
      </c>
      <c r="Z24" s="6">
        <v>5564</v>
      </c>
      <c r="AA24" s="7">
        <f>SUM(B24:Z24)</f>
        <v>74710</v>
      </c>
    </row>
    <row r="25" spans="1:27" x14ac:dyDescent="0.25">
      <c r="A25" s="4" t="s">
        <v>50</v>
      </c>
      <c r="B25" s="6">
        <v>7619</v>
      </c>
      <c r="C25" s="6">
        <v>13444</v>
      </c>
      <c r="D25" s="6">
        <v>52209</v>
      </c>
      <c r="E25" s="6">
        <v>23554</v>
      </c>
      <c r="F25" s="6">
        <v>12016</v>
      </c>
      <c r="G25" s="6">
        <v>18846</v>
      </c>
      <c r="H25" s="6">
        <v>17938</v>
      </c>
      <c r="I25" s="6">
        <v>19829</v>
      </c>
      <c r="J25" s="6">
        <v>40543</v>
      </c>
      <c r="K25" s="6">
        <v>11995</v>
      </c>
      <c r="L25" s="6">
        <v>51183</v>
      </c>
      <c r="M25" s="6">
        <v>20348</v>
      </c>
      <c r="N25" s="6">
        <v>22343</v>
      </c>
      <c r="O25" s="6">
        <v>47336</v>
      </c>
      <c r="P25" s="6">
        <v>22331</v>
      </c>
      <c r="Q25" s="6">
        <v>14455</v>
      </c>
      <c r="R25" s="6">
        <v>33936</v>
      </c>
      <c r="S25" s="6">
        <v>40440</v>
      </c>
      <c r="T25" s="6">
        <v>24317</v>
      </c>
      <c r="U25" s="6">
        <v>16358</v>
      </c>
      <c r="V25" s="6">
        <v>46638</v>
      </c>
      <c r="W25" s="6">
        <v>19707</v>
      </c>
      <c r="X25" s="6">
        <v>38542</v>
      </c>
      <c r="Y25" s="6">
        <v>16115</v>
      </c>
      <c r="Z25" s="6">
        <v>27793</v>
      </c>
      <c r="AA25" s="7">
        <f>SUM(B25:Z25)</f>
        <v>659835</v>
      </c>
    </row>
    <row r="26" spans="1:27" x14ac:dyDescent="0.25">
      <c r="A26" s="4" t="s">
        <v>51</v>
      </c>
      <c r="B26" s="6">
        <v>1263</v>
      </c>
      <c r="C26" s="6">
        <v>1787</v>
      </c>
      <c r="D26" s="6">
        <v>5085</v>
      </c>
      <c r="E26" s="6">
        <v>4798</v>
      </c>
      <c r="F26" s="6">
        <v>4200</v>
      </c>
      <c r="G26" s="6">
        <v>4546</v>
      </c>
      <c r="H26" s="6">
        <v>3241</v>
      </c>
      <c r="I26" s="6">
        <v>4071</v>
      </c>
      <c r="J26" s="6">
        <v>4457</v>
      </c>
      <c r="K26" s="6">
        <v>2211</v>
      </c>
      <c r="L26" s="6">
        <v>5465</v>
      </c>
      <c r="M26" s="6">
        <v>2314</v>
      </c>
      <c r="N26" s="6">
        <v>2032</v>
      </c>
      <c r="O26" s="6">
        <v>3600</v>
      </c>
      <c r="P26" s="6">
        <v>2273</v>
      </c>
      <c r="Q26" s="6">
        <v>1250</v>
      </c>
      <c r="R26" s="6">
        <v>1609</v>
      </c>
      <c r="S26" s="6">
        <v>3091</v>
      </c>
      <c r="T26" s="6">
        <v>4559</v>
      </c>
      <c r="U26" s="6">
        <v>1054</v>
      </c>
      <c r="V26" s="6">
        <v>2994</v>
      </c>
      <c r="W26" s="6">
        <v>1573</v>
      </c>
      <c r="X26" s="6">
        <v>3999</v>
      </c>
      <c r="Y26" s="6">
        <v>1618</v>
      </c>
      <c r="Z26" s="6">
        <v>6276</v>
      </c>
      <c r="AA26" s="7">
        <f>SUM(B26:Z26)</f>
        <v>79366</v>
      </c>
    </row>
    <row r="27" spans="1:27" x14ac:dyDescent="0.25">
      <c r="A27" s="4" t="s">
        <v>52</v>
      </c>
      <c r="B27" s="6">
        <v>6</v>
      </c>
      <c r="C27" s="6">
        <v>19</v>
      </c>
      <c r="D27" s="6">
        <v>187</v>
      </c>
      <c r="E27" s="6">
        <v>42</v>
      </c>
      <c r="F27" s="6">
        <v>62</v>
      </c>
      <c r="G27" s="6">
        <v>31</v>
      </c>
      <c r="H27" s="6">
        <v>30</v>
      </c>
      <c r="I27" s="6">
        <v>34</v>
      </c>
      <c r="J27" s="6">
        <v>64</v>
      </c>
      <c r="K27" s="6">
        <v>21</v>
      </c>
      <c r="L27" s="6">
        <v>162</v>
      </c>
      <c r="M27" s="5"/>
      <c r="N27" s="6">
        <v>3</v>
      </c>
      <c r="O27" s="6">
        <v>23</v>
      </c>
      <c r="P27" s="6">
        <v>2</v>
      </c>
      <c r="Q27" s="6">
        <v>3</v>
      </c>
      <c r="R27" s="6">
        <v>30</v>
      </c>
      <c r="S27" s="6">
        <v>10</v>
      </c>
      <c r="T27" s="6">
        <v>31</v>
      </c>
      <c r="U27" s="6">
        <v>18</v>
      </c>
      <c r="V27" s="6">
        <v>6</v>
      </c>
      <c r="W27" s="6">
        <v>4</v>
      </c>
      <c r="X27" s="6">
        <v>30</v>
      </c>
      <c r="Y27" s="5"/>
      <c r="Z27" s="6">
        <v>52</v>
      </c>
      <c r="AA27" s="7">
        <f>SUM(B27:Z27)</f>
        <v>870</v>
      </c>
    </row>
    <row r="28" spans="1:27" x14ac:dyDescent="0.25">
      <c r="A28" s="4" t="s">
        <v>53</v>
      </c>
      <c r="B28" s="5"/>
      <c r="C28" s="5"/>
      <c r="D28" s="6">
        <v>1</v>
      </c>
      <c r="E28" s="5"/>
      <c r="F28" s="6">
        <v>4</v>
      </c>
      <c r="G28" s="5"/>
      <c r="H28" s="5"/>
      <c r="I28" s="5"/>
      <c r="J28" s="5"/>
      <c r="K28" s="5"/>
      <c r="L28" s="5"/>
      <c r="M28" s="5"/>
      <c r="N28" s="5"/>
      <c r="O28" s="6">
        <v>1</v>
      </c>
      <c r="P28" s="5"/>
      <c r="Q28" s="5"/>
      <c r="R28" s="6">
        <v>1</v>
      </c>
      <c r="S28" s="6">
        <v>1</v>
      </c>
      <c r="T28" s="5"/>
      <c r="U28" s="6">
        <v>3</v>
      </c>
      <c r="V28" s="5"/>
      <c r="W28" s="5"/>
      <c r="X28" s="5"/>
      <c r="Y28" s="5"/>
      <c r="Z28" s="5"/>
      <c r="AA28" s="7">
        <f>SUM(B28:Z28)</f>
        <v>11</v>
      </c>
    </row>
    <row r="29" spans="1:27" x14ac:dyDescent="0.25">
      <c r="A29" s="4" t="s">
        <v>54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6">
        <v>1</v>
      </c>
      <c r="V29" s="5"/>
      <c r="W29" s="5"/>
      <c r="X29" s="5"/>
      <c r="Y29" s="5"/>
      <c r="Z29" s="5"/>
      <c r="AA29" s="7">
        <f>SUM(B29:Z29)</f>
        <v>1</v>
      </c>
    </row>
    <row r="30" spans="1:27" x14ac:dyDescent="0.25">
      <c r="A30" s="4" t="s">
        <v>55</v>
      </c>
      <c r="B30" s="6">
        <v>957</v>
      </c>
      <c r="C30" s="6">
        <v>538</v>
      </c>
      <c r="D30" s="6">
        <v>957</v>
      </c>
      <c r="E30" s="6">
        <v>718</v>
      </c>
      <c r="F30" s="6">
        <v>528</v>
      </c>
      <c r="G30" s="6">
        <v>360</v>
      </c>
      <c r="H30" s="6">
        <v>387</v>
      </c>
      <c r="I30" s="6">
        <v>421</v>
      </c>
      <c r="J30" s="6">
        <v>491</v>
      </c>
      <c r="K30" s="6">
        <v>201</v>
      </c>
      <c r="L30" s="6">
        <v>886</v>
      </c>
      <c r="M30" s="6">
        <v>68</v>
      </c>
      <c r="N30" s="6">
        <v>100</v>
      </c>
      <c r="O30" s="6">
        <v>473</v>
      </c>
      <c r="P30" s="6">
        <v>659</v>
      </c>
      <c r="Q30" s="6">
        <v>736</v>
      </c>
      <c r="R30" s="6">
        <v>479</v>
      </c>
      <c r="S30" s="6">
        <v>1748</v>
      </c>
      <c r="T30" s="6">
        <v>884</v>
      </c>
      <c r="U30" s="6">
        <v>946</v>
      </c>
      <c r="V30" s="6">
        <v>776</v>
      </c>
      <c r="W30" s="6">
        <v>519</v>
      </c>
      <c r="X30" s="6">
        <v>326</v>
      </c>
      <c r="Y30" s="6">
        <v>107</v>
      </c>
      <c r="Z30" s="6">
        <v>205</v>
      </c>
      <c r="AA30" s="7">
        <f>SUM(B30:Z30)</f>
        <v>14470</v>
      </c>
    </row>
    <row r="31" spans="1:27" x14ac:dyDescent="0.25">
      <c r="A31" s="4" t="s">
        <v>56</v>
      </c>
      <c r="B31" s="6">
        <v>1</v>
      </c>
      <c r="C31" s="6">
        <v>4</v>
      </c>
      <c r="D31" s="5"/>
      <c r="E31" s="6">
        <v>6</v>
      </c>
      <c r="F31" s="5"/>
      <c r="G31" s="5"/>
      <c r="H31" s="6">
        <v>1</v>
      </c>
      <c r="I31" s="5"/>
      <c r="J31" s="5"/>
      <c r="K31" s="5"/>
      <c r="L31" s="5"/>
      <c r="M31" s="5"/>
      <c r="N31" s="5"/>
      <c r="O31" s="5"/>
      <c r="P31" s="6">
        <v>19</v>
      </c>
      <c r="Q31" s="6">
        <v>58</v>
      </c>
      <c r="R31" s="6">
        <v>5</v>
      </c>
      <c r="S31" s="6">
        <v>62</v>
      </c>
      <c r="T31" s="6">
        <v>8</v>
      </c>
      <c r="U31" s="6">
        <v>43</v>
      </c>
      <c r="V31" s="6">
        <v>50</v>
      </c>
      <c r="W31" s="6">
        <v>337</v>
      </c>
      <c r="X31" s="6">
        <v>77</v>
      </c>
      <c r="Y31" s="6">
        <v>72</v>
      </c>
      <c r="Z31" s="6">
        <v>20</v>
      </c>
      <c r="AA31" s="7">
        <f>SUM(B31:Z31)</f>
        <v>763</v>
      </c>
    </row>
    <row r="32" spans="1:27" x14ac:dyDescent="0.25">
      <c r="A32" s="4" t="s">
        <v>57</v>
      </c>
      <c r="B32" s="5"/>
      <c r="C32" s="5"/>
      <c r="D32" s="5"/>
      <c r="E32" s="5"/>
      <c r="F32" s="5"/>
      <c r="G32" s="6">
        <v>2</v>
      </c>
      <c r="H32" s="6">
        <v>5</v>
      </c>
      <c r="I32" s="6">
        <v>8</v>
      </c>
      <c r="J32" s="6">
        <v>1</v>
      </c>
      <c r="K32" s="5"/>
      <c r="L32" s="6">
        <v>18</v>
      </c>
      <c r="M32" s="6">
        <v>2</v>
      </c>
      <c r="N32" s="6">
        <v>5</v>
      </c>
      <c r="O32" s="5"/>
      <c r="P32" s="6">
        <v>2</v>
      </c>
      <c r="Q32" s="6">
        <v>13</v>
      </c>
      <c r="R32" s="6">
        <v>38</v>
      </c>
      <c r="S32" s="6">
        <v>37</v>
      </c>
      <c r="T32" s="6">
        <v>6</v>
      </c>
      <c r="U32" s="6">
        <v>10</v>
      </c>
      <c r="V32" s="6">
        <v>17</v>
      </c>
      <c r="W32" s="6">
        <v>13</v>
      </c>
      <c r="X32" s="6">
        <v>8</v>
      </c>
      <c r="Y32" s="6">
        <v>7</v>
      </c>
      <c r="Z32" s="6">
        <v>25</v>
      </c>
      <c r="AA32" s="7">
        <f>SUM(B32:Z32)</f>
        <v>217</v>
      </c>
    </row>
    <row r="33" spans="1:27" x14ac:dyDescent="0.25">
      <c r="A33" s="4" t="s">
        <v>58</v>
      </c>
      <c r="B33" s="5"/>
      <c r="C33" s="5"/>
      <c r="D33" s="5"/>
      <c r="E33" s="6">
        <v>3</v>
      </c>
      <c r="F33" s="5"/>
      <c r="G33" s="5"/>
      <c r="H33" s="5"/>
      <c r="I33" s="5"/>
      <c r="J33" s="5"/>
      <c r="K33" s="5"/>
      <c r="L33" s="5"/>
      <c r="M33" s="5"/>
      <c r="N33" s="6">
        <v>1</v>
      </c>
      <c r="O33" s="5"/>
      <c r="P33" s="6">
        <v>1</v>
      </c>
      <c r="Q33" s="5"/>
      <c r="R33" s="5"/>
      <c r="S33" s="6">
        <v>1</v>
      </c>
      <c r="T33" s="6">
        <v>1</v>
      </c>
      <c r="U33" s="5"/>
      <c r="V33" s="6">
        <v>1</v>
      </c>
      <c r="W33" s="5"/>
      <c r="X33" s="6">
        <v>16</v>
      </c>
      <c r="Y33" s="6">
        <v>1</v>
      </c>
      <c r="Z33" s="5"/>
      <c r="AA33" s="7">
        <f>SUM(B33:Z33)</f>
        <v>25</v>
      </c>
    </row>
    <row r="34" spans="1:27" x14ac:dyDescent="0.25">
      <c r="A34" s="4" t="s">
        <v>59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>
        <v>29</v>
      </c>
      <c r="T34" s="5"/>
      <c r="U34" s="6">
        <v>1</v>
      </c>
      <c r="V34" s="6">
        <v>3</v>
      </c>
      <c r="W34" s="5"/>
      <c r="X34" s="6">
        <v>1</v>
      </c>
      <c r="Y34" s="5"/>
      <c r="Z34" s="6">
        <v>1</v>
      </c>
      <c r="AA34" s="7">
        <f>SUM(B34:Z34)</f>
        <v>35</v>
      </c>
    </row>
    <row r="35" spans="1:27" x14ac:dyDescent="0.25">
      <c r="A35" s="4" t="s">
        <v>60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6">
        <v>1</v>
      </c>
      <c r="P35" s="6">
        <v>2</v>
      </c>
      <c r="Q35" s="5"/>
      <c r="R35" s="5"/>
      <c r="S35" s="5"/>
      <c r="T35" s="6">
        <v>6</v>
      </c>
      <c r="U35" s="6">
        <v>38</v>
      </c>
      <c r="V35" s="6">
        <v>5</v>
      </c>
      <c r="W35" s="5"/>
      <c r="X35" s="6">
        <v>5</v>
      </c>
      <c r="Y35" s="5"/>
      <c r="Z35" s="5"/>
      <c r="AA35" s="7">
        <f>SUM(B35:Z35)</f>
        <v>57</v>
      </c>
    </row>
    <row r="36" spans="1:27" x14ac:dyDescent="0.25">
      <c r="A36" s="4" t="s">
        <v>61</v>
      </c>
      <c r="B36" s="6">
        <v>1385</v>
      </c>
      <c r="C36" s="6">
        <v>1066</v>
      </c>
      <c r="D36" s="6">
        <v>682</v>
      </c>
      <c r="E36" s="6">
        <v>1305</v>
      </c>
      <c r="F36" s="6">
        <v>1526</v>
      </c>
      <c r="G36" s="6">
        <v>883</v>
      </c>
      <c r="H36" s="6">
        <v>1814</v>
      </c>
      <c r="I36" s="6">
        <v>1829</v>
      </c>
      <c r="J36" s="6">
        <v>2861</v>
      </c>
      <c r="K36" s="6">
        <v>2571</v>
      </c>
      <c r="L36" s="6">
        <v>1841</v>
      </c>
      <c r="M36" s="6">
        <v>1890</v>
      </c>
      <c r="N36" s="6">
        <v>1192</v>
      </c>
      <c r="O36" s="6">
        <v>2315</v>
      </c>
      <c r="P36" s="6">
        <v>1922</v>
      </c>
      <c r="Q36" s="6">
        <v>1872</v>
      </c>
      <c r="R36" s="6">
        <v>1484</v>
      </c>
      <c r="S36" s="6">
        <v>2560</v>
      </c>
      <c r="T36" s="6">
        <v>2481</v>
      </c>
      <c r="U36" s="6">
        <v>2983</v>
      </c>
      <c r="V36" s="6">
        <v>2113</v>
      </c>
      <c r="W36" s="6">
        <v>4019</v>
      </c>
      <c r="X36" s="6">
        <v>2898</v>
      </c>
      <c r="Y36" s="6">
        <v>4079</v>
      </c>
      <c r="Z36" s="6">
        <v>4728</v>
      </c>
      <c r="AA36" s="7">
        <f>SUM(B36:Z36)</f>
        <v>54299</v>
      </c>
    </row>
    <row r="37" spans="1:27" x14ac:dyDescent="0.25">
      <c r="A37" s="4" t="s">
        <v>62</v>
      </c>
      <c r="B37" s="6">
        <v>41</v>
      </c>
      <c r="C37" s="6">
        <v>2</v>
      </c>
      <c r="D37" s="6">
        <v>68</v>
      </c>
      <c r="E37" s="6">
        <v>26</v>
      </c>
      <c r="F37" s="6">
        <v>86</v>
      </c>
      <c r="G37" s="6">
        <v>3</v>
      </c>
      <c r="H37" s="5"/>
      <c r="I37" s="6">
        <v>69</v>
      </c>
      <c r="J37" s="6">
        <v>284</v>
      </c>
      <c r="K37" s="6">
        <v>50</v>
      </c>
      <c r="L37" s="6">
        <v>545</v>
      </c>
      <c r="M37" s="6">
        <v>1</v>
      </c>
      <c r="N37" s="6">
        <v>76</v>
      </c>
      <c r="O37" s="6">
        <v>67</v>
      </c>
      <c r="P37" s="6">
        <v>121</v>
      </c>
      <c r="Q37" s="6">
        <v>55</v>
      </c>
      <c r="R37" s="6">
        <v>160</v>
      </c>
      <c r="S37" s="6">
        <v>434</v>
      </c>
      <c r="T37" s="6">
        <v>254</v>
      </c>
      <c r="U37" s="6">
        <v>30</v>
      </c>
      <c r="V37" s="6">
        <v>39</v>
      </c>
      <c r="W37" s="6">
        <v>25</v>
      </c>
      <c r="X37" s="6">
        <v>9</v>
      </c>
      <c r="Y37" s="5"/>
      <c r="Z37" s="6">
        <v>62</v>
      </c>
      <c r="AA37" s="7">
        <f>SUM(B37:Z37)</f>
        <v>2507</v>
      </c>
    </row>
    <row r="38" spans="1:27" x14ac:dyDescent="0.25">
      <c r="A38" s="4" t="s">
        <v>63</v>
      </c>
      <c r="B38" s="6">
        <v>1114</v>
      </c>
      <c r="C38" s="6">
        <v>1144</v>
      </c>
      <c r="D38" s="6">
        <v>2849</v>
      </c>
      <c r="E38" s="6">
        <v>3324</v>
      </c>
      <c r="F38" s="6">
        <v>2793</v>
      </c>
      <c r="G38" s="6">
        <v>1760</v>
      </c>
      <c r="H38" s="6">
        <v>907</v>
      </c>
      <c r="I38" s="6">
        <v>2177</v>
      </c>
      <c r="J38" s="6">
        <v>263</v>
      </c>
      <c r="K38" s="6">
        <v>470</v>
      </c>
      <c r="L38" s="6">
        <v>2258</v>
      </c>
      <c r="M38" s="6">
        <v>1475</v>
      </c>
      <c r="N38" s="6">
        <v>255</v>
      </c>
      <c r="O38" s="6">
        <v>155</v>
      </c>
      <c r="P38" s="6">
        <v>779</v>
      </c>
      <c r="Q38" s="6">
        <v>854</v>
      </c>
      <c r="R38" s="6">
        <v>381</v>
      </c>
      <c r="S38" s="6">
        <v>929</v>
      </c>
      <c r="T38" s="6">
        <v>508</v>
      </c>
      <c r="U38" s="6">
        <v>350</v>
      </c>
      <c r="V38" s="6">
        <v>249</v>
      </c>
      <c r="W38" s="6">
        <v>474</v>
      </c>
      <c r="X38" s="6">
        <v>569</v>
      </c>
      <c r="Y38" s="6">
        <v>164</v>
      </c>
      <c r="Z38" s="6">
        <v>922</v>
      </c>
      <c r="AA38" s="7">
        <f>SUM(B38:Z38)</f>
        <v>27123</v>
      </c>
    </row>
    <row r="39" spans="1:27" x14ac:dyDescent="0.25">
      <c r="A39" s="4" t="s">
        <v>64</v>
      </c>
      <c r="B39" s="6">
        <v>4672</v>
      </c>
      <c r="C39" s="6">
        <v>7954</v>
      </c>
      <c r="D39" s="6">
        <v>18590</v>
      </c>
      <c r="E39" s="6">
        <v>948</v>
      </c>
      <c r="F39" s="6">
        <v>1200</v>
      </c>
      <c r="G39" s="6">
        <v>8639</v>
      </c>
      <c r="H39" s="6">
        <v>1970</v>
      </c>
      <c r="I39" s="6">
        <v>4972</v>
      </c>
      <c r="J39" s="6">
        <v>7747</v>
      </c>
      <c r="K39" s="6">
        <v>128</v>
      </c>
      <c r="L39" s="6">
        <v>3551</v>
      </c>
      <c r="M39" s="6">
        <v>893</v>
      </c>
      <c r="N39" s="6">
        <v>5314</v>
      </c>
      <c r="O39" s="6">
        <v>1953</v>
      </c>
      <c r="P39" s="6">
        <v>888</v>
      </c>
      <c r="Q39" s="6">
        <v>11</v>
      </c>
      <c r="R39" s="6">
        <v>643</v>
      </c>
      <c r="S39" s="6">
        <v>991</v>
      </c>
      <c r="T39" s="6">
        <v>1612</v>
      </c>
      <c r="U39" s="6">
        <v>832</v>
      </c>
      <c r="V39" s="6">
        <v>3920</v>
      </c>
      <c r="W39" s="6">
        <v>119</v>
      </c>
      <c r="X39" s="6">
        <v>5211</v>
      </c>
      <c r="Y39" s="6">
        <v>1174</v>
      </c>
      <c r="Z39" s="6">
        <v>5276</v>
      </c>
      <c r="AA39" s="7">
        <f>SUM(B39:Z39)</f>
        <v>89208</v>
      </c>
    </row>
    <row r="40" spans="1:27" x14ac:dyDescent="0.25">
      <c r="A40" s="4" t="s">
        <v>65</v>
      </c>
      <c r="B40" s="6">
        <v>450</v>
      </c>
      <c r="C40" s="6">
        <v>622</v>
      </c>
      <c r="D40" s="6">
        <v>2251</v>
      </c>
      <c r="E40" s="6">
        <v>2118</v>
      </c>
      <c r="F40" s="6">
        <v>1708</v>
      </c>
      <c r="G40" s="6">
        <v>1028</v>
      </c>
      <c r="H40" s="6">
        <v>1706</v>
      </c>
      <c r="I40" s="6">
        <v>2008</v>
      </c>
      <c r="J40" s="6">
        <v>2485</v>
      </c>
      <c r="K40" s="6">
        <v>1280</v>
      </c>
      <c r="L40" s="6">
        <v>2761</v>
      </c>
      <c r="M40" s="6">
        <v>395</v>
      </c>
      <c r="N40" s="6">
        <v>164</v>
      </c>
      <c r="O40" s="6">
        <v>560</v>
      </c>
      <c r="P40" s="6">
        <v>1278</v>
      </c>
      <c r="Q40" s="6">
        <v>1361</v>
      </c>
      <c r="R40" s="6">
        <v>991</v>
      </c>
      <c r="S40" s="6">
        <v>1372</v>
      </c>
      <c r="T40" s="6">
        <v>612</v>
      </c>
      <c r="U40" s="6">
        <v>531</v>
      </c>
      <c r="V40" s="6">
        <v>539</v>
      </c>
      <c r="W40" s="6">
        <v>662</v>
      </c>
      <c r="X40" s="6">
        <v>118</v>
      </c>
      <c r="Y40" s="6">
        <v>47</v>
      </c>
      <c r="Z40" s="6">
        <v>143</v>
      </c>
      <c r="AA40" s="7">
        <f>SUM(B40:Z40)</f>
        <v>27190</v>
      </c>
    </row>
    <row r="41" spans="1:27" x14ac:dyDescent="0.25">
      <c r="A41" s="4" t="s">
        <v>66</v>
      </c>
      <c r="B41" s="6">
        <v>3432</v>
      </c>
      <c r="C41" s="6">
        <v>2910</v>
      </c>
      <c r="D41" s="6">
        <v>3104</v>
      </c>
      <c r="E41" s="6">
        <v>8290</v>
      </c>
      <c r="F41" s="6">
        <v>5079</v>
      </c>
      <c r="G41" s="6">
        <v>2713</v>
      </c>
      <c r="H41" s="6">
        <v>6619</v>
      </c>
      <c r="I41" s="6">
        <v>6143</v>
      </c>
      <c r="J41" s="6">
        <v>8765</v>
      </c>
      <c r="K41" s="6">
        <v>6991</v>
      </c>
      <c r="L41" s="6">
        <v>17322</v>
      </c>
      <c r="M41" s="6">
        <v>10251</v>
      </c>
      <c r="N41" s="6">
        <v>4329</v>
      </c>
      <c r="O41" s="6">
        <v>7067</v>
      </c>
      <c r="P41" s="6">
        <v>11513</v>
      </c>
      <c r="Q41" s="6">
        <v>15053</v>
      </c>
      <c r="R41" s="6">
        <v>5427</v>
      </c>
      <c r="S41" s="6">
        <v>13241</v>
      </c>
      <c r="T41" s="6">
        <v>5369</v>
      </c>
      <c r="U41" s="6">
        <v>21849</v>
      </c>
      <c r="V41" s="6">
        <v>7765</v>
      </c>
      <c r="W41" s="6">
        <v>12476</v>
      </c>
      <c r="X41" s="6">
        <v>8261</v>
      </c>
      <c r="Y41" s="6">
        <v>6138</v>
      </c>
      <c r="Z41" s="6">
        <v>14714</v>
      </c>
      <c r="AA41" s="7">
        <f>SUM(B41:Z41)</f>
        <v>214821</v>
      </c>
    </row>
    <row r="42" spans="1:27" x14ac:dyDescent="0.25">
      <c r="A42" s="4" t="s">
        <v>67</v>
      </c>
      <c r="B42" s="5"/>
      <c r="C42" s="5"/>
      <c r="D42" s="5"/>
      <c r="E42" s="6">
        <v>3753</v>
      </c>
      <c r="F42" s="6">
        <v>2195</v>
      </c>
      <c r="G42" s="6">
        <v>6424</v>
      </c>
      <c r="H42" s="6">
        <v>6723</v>
      </c>
      <c r="I42" s="6">
        <v>7482</v>
      </c>
      <c r="J42" s="6">
        <v>14598</v>
      </c>
      <c r="K42" s="6">
        <v>3226</v>
      </c>
      <c r="L42" s="6">
        <v>13383</v>
      </c>
      <c r="M42" s="6">
        <v>6893</v>
      </c>
      <c r="N42" s="6">
        <v>4995</v>
      </c>
      <c r="O42" s="6">
        <v>6552</v>
      </c>
      <c r="P42" s="6">
        <v>3090</v>
      </c>
      <c r="Q42" s="6">
        <v>3004</v>
      </c>
      <c r="R42" s="6">
        <v>17339</v>
      </c>
      <c r="S42" s="6">
        <v>11380</v>
      </c>
      <c r="T42" s="6">
        <v>11340</v>
      </c>
      <c r="U42" s="6">
        <v>4365</v>
      </c>
      <c r="V42" s="6">
        <v>7110</v>
      </c>
      <c r="W42" s="6">
        <v>5356</v>
      </c>
      <c r="X42" s="6">
        <v>3990</v>
      </c>
      <c r="Y42" s="6">
        <v>6382</v>
      </c>
      <c r="Z42" s="6">
        <v>8776</v>
      </c>
      <c r="AA42" s="7">
        <f>SUM(B42:Z42)</f>
        <v>158356</v>
      </c>
    </row>
    <row r="43" spans="1:27" x14ac:dyDescent="0.25">
      <c r="A43" s="4" t="s">
        <v>68</v>
      </c>
      <c r="B43" s="6">
        <v>4406</v>
      </c>
      <c r="C43" s="6">
        <v>2260</v>
      </c>
      <c r="D43" s="6">
        <v>4934</v>
      </c>
      <c r="E43" s="6">
        <v>2680</v>
      </c>
      <c r="F43" s="6">
        <v>1520</v>
      </c>
      <c r="G43" s="6">
        <v>1989</v>
      </c>
      <c r="H43" s="6">
        <v>1376</v>
      </c>
      <c r="I43" s="6">
        <v>1328</v>
      </c>
      <c r="J43" s="6">
        <v>3000</v>
      </c>
      <c r="K43" s="6">
        <v>751</v>
      </c>
      <c r="L43" s="6">
        <v>1475</v>
      </c>
      <c r="M43" s="6">
        <v>1558</v>
      </c>
      <c r="N43" s="6">
        <v>1529</v>
      </c>
      <c r="O43" s="6">
        <v>2009</v>
      </c>
      <c r="P43" s="6">
        <v>1474</v>
      </c>
      <c r="Q43" s="6">
        <v>861</v>
      </c>
      <c r="R43" s="6">
        <v>1120</v>
      </c>
      <c r="S43" s="6">
        <v>2281</v>
      </c>
      <c r="T43" s="6">
        <v>1433</v>
      </c>
      <c r="U43" s="6">
        <v>989</v>
      </c>
      <c r="V43" s="6">
        <v>2328</v>
      </c>
      <c r="W43" s="6">
        <v>1165</v>
      </c>
      <c r="X43" s="6">
        <v>2680</v>
      </c>
      <c r="Y43" s="6">
        <v>1029</v>
      </c>
      <c r="Z43" s="6">
        <v>2097</v>
      </c>
      <c r="AA43" s="7">
        <f>SUM(B43:Z43)</f>
        <v>48272</v>
      </c>
    </row>
    <row r="44" spans="1:27" x14ac:dyDescent="0.25">
      <c r="A44" s="4" t="s">
        <v>69</v>
      </c>
      <c r="B44" s="6">
        <v>20243</v>
      </c>
      <c r="C44" s="6">
        <v>5800</v>
      </c>
      <c r="D44" s="6">
        <v>16443</v>
      </c>
      <c r="E44" s="6">
        <v>5321</v>
      </c>
      <c r="F44" s="6">
        <v>2303</v>
      </c>
      <c r="G44" s="6">
        <v>11533</v>
      </c>
      <c r="H44" s="6">
        <v>1050</v>
      </c>
      <c r="I44" s="6">
        <v>17315</v>
      </c>
      <c r="J44" s="6">
        <v>23340</v>
      </c>
      <c r="K44" s="6">
        <v>538</v>
      </c>
      <c r="L44" s="6">
        <v>24771</v>
      </c>
      <c r="M44" s="6">
        <v>3430</v>
      </c>
      <c r="N44" s="6">
        <v>15460</v>
      </c>
      <c r="O44" s="6">
        <v>7832</v>
      </c>
      <c r="P44" s="6">
        <v>5333</v>
      </c>
      <c r="Q44" s="6">
        <v>785</v>
      </c>
      <c r="R44" s="6">
        <v>713</v>
      </c>
      <c r="S44" s="6">
        <v>3615</v>
      </c>
      <c r="T44" s="6">
        <v>772</v>
      </c>
      <c r="U44" s="6">
        <v>485</v>
      </c>
      <c r="V44" s="6">
        <v>21019</v>
      </c>
      <c r="W44" s="6">
        <v>1671</v>
      </c>
      <c r="X44" s="6">
        <v>15584</v>
      </c>
      <c r="Y44" s="6">
        <v>8573</v>
      </c>
      <c r="Z44" s="6">
        <v>3998</v>
      </c>
      <c r="AA44" s="7">
        <f>SUM(B44:Z44)</f>
        <v>217927</v>
      </c>
    </row>
    <row r="45" spans="1:27" x14ac:dyDescent="0.25">
      <c r="A45" s="4" t="s">
        <v>70</v>
      </c>
      <c r="B45" s="6">
        <v>1</v>
      </c>
      <c r="C45" s="5"/>
      <c r="D45" s="6">
        <v>4</v>
      </c>
      <c r="E45" s="6">
        <v>4</v>
      </c>
      <c r="F45" s="6">
        <v>3</v>
      </c>
      <c r="G45" s="6">
        <v>2</v>
      </c>
      <c r="H45" s="6">
        <v>1</v>
      </c>
      <c r="I45" s="6">
        <v>1</v>
      </c>
      <c r="J45" s="6">
        <v>5</v>
      </c>
      <c r="K45" s="5"/>
      <c r="L45" s="6">
        <v>5</v>
      </c>
      <c r="M45" s="6">
        <v>4</v>
      </c>
      <c r="N45" s="6">
        <v>8</v>
      </c>
      <c r="O45" s="5"/>
      <c r="P45" s="6">
        <v>4</v>
      </c>
      <c r="Q45" s="6">
        <v>10</v>
      </c>
      <c r="R45" s="6">
        <v>7</v>
      </c>
      <c r="S45" s="6">
        <v>4</v>
      </c>
      <c r="T45" s="6">
        <v>2</v>
      </c>
      <c r="U45" s="6">
        <v>8</v>
      </c>
      <c r="V45" s="6">
        <v>8</v>
      </c>
      <c r="W45" s="6">
        <v>6</v>
      </c>
      <c r="X45" s="6">
        <v>8</v>
      </c>
      <c r="Y45" s="6">
        <v>19</v>
      </c>
      <c r="Z45" s="6">
        <v>8</v>
      </c>
      <c r="AA45" s="7">
        <f>SUM(B45:Z45)</f>
        <v>122</v>
      </c>
    </row>
    <row r="46" spans="1:27" x14ac:dyDescent="0.25">
      <c r="A46" s="4" t="s">
        <v>71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6">
        <v>15</v>
      </c>
      <c r="O46" s="5"/>
      <c r="P46" s="6">
        <v>1</v>
      </c>
      <c r="Q46" s="5"/>
      <c r="R46" s="5"/>
      <c r="S46" s="6">
        <v>1</v>
      </c>
      <c r="T46" s="5"/>
      <c r="U46" s="6">
        <v>4</v>
      </c>
      <c r="V46" s="6">
        <v>9</v>
      </c>
      <c r="W46" s="6">
        <v>2</v>
      </c>
      <c r="X46" s="6">
        <v>14</v>
      </c>
      <c r="Y46" s="6">
        <v>8</v>
      </c>
      <c r="Z46" s="5"/>
      <c r="AA46" s="7">
        <f>SUM(B46:Z46)</f>
        <v>54</v>
      </c>
    </row>
    <row r="47" spans="1:27" x14ac:dyDescent="0.25">
      <c r="A47" s="4" t="s">
        <v>72</v>
      </c>
      <c r="B47" s="5"/>
      <c r="C47" s="5"/>
      <c r="D47" s="5"/>
      <c r="E47" s="5"/>
      <c r="F47" s="5"/>
      <c r="G47" s="5"/>
      <c r="H47" s="5"/>
      <c r="I47" s="6">
        <v>1</v>
      </c>
      <c r="J47" s="6">
        <v>1</v>
      </c>
      <c r="K47" s="6">
        <v>1</v>
      </c>
      <c r="L47" s="5"/>
      <c r="M47" s="6">
        <v>2</v>
      </c>
      <c r="N47" s="6">
        <v>26</v>
      </c>
      <c r="O47" s="6">
        <v>1</v>
      </c>
      <c r="P47" s="6">
        <v>7</v>
      </c>
      <c r="Q47" s="6">
        <v>3</v>
      </c>
      <c r="R47" s="6">
        <v>4</v>
      </c>
      <c r="S47" s="6">
        <v>36</v>
      </c>
      <c r="T47" s="6">
        <v>11</v>
      </c>
      <c r="U47" s="6">
        <v>18</v>
      </c>
      <c r="V47" s="6">
        <v>88</v>
      </c>
      <c r="W47" s="6">
        <v>26</v>
      </c>
      <c r="X47" s="6">
        <v>85</v>
      </c>
      <c r="Y47" s="6">
        <v>72</v>
      </c>
      <c r="Z47" s="6">
        <v>6</v>
      </c>
      <c r="AA47" s="7">
        <f>SUM(B47:Z47)</f>
        <v>388</v>
      </c>
    </row>
    <row r="48" spans="1:27" x14ac:dyDescent="0.25">
      <c r="A48" s="4" t="s">
        <v>73</v>
      </c>
      <c r="B48" s="6">
        <v>2462</v>
      </c>
      <c r="C48" s="6">
        <v>1420</v>
      </c>
      <c r="D48" s="6">
        <v>8312</v>
      </c>
      <c r="E48" s="6">
        <v>1573</v>
      </c>
      <c r="F48" s="6">
        <v>1296</v>
      </c>
      <c r="G48" s="6">
        <v>7450</v>
      </c>
      <c r="H48" s="6">
        <v>330</v>
      </c>
      <c r="I48" s="6">
        <v>11785</v>
      </c>
      <c r="J48" s="6">
        <v>13677</v>
      </c>
      <c r="K48" s="6">
        <v>648</v>
      </c>
      <c r="L48" s="6">
        <v>20121</v>
      </c>
      <c r="M48" s="6">
        <v>3225</v>
      </c>
      <c r="N48" s="6">
        <v>15488</v>
      </c>
      <c r="O48" s="6">
        <v>3855</v>
      </c>
      <c r="P48" s="6">
        <v>3760</v>
      </c>
      <c r="Q48" s="6">
        <v>1379</v>
      </c>
      <c r="R48" s="6">
        <v>1213</v>
      </c>
      <c r="S48" s="6">
        <v>23730</v>
      </c>
      <c r="T48" s="6">
        <v>6172</v>
      </c>
      <c r="U48" s="6">
        <v>3125</v>
      </c>
      <c r="V48" s="6">
        <v>109807</v>
      </c>
      <c r="W48" s="6">
        <v>6786</v>
      </c>
      <c r="X48" s="6">
        <v>53809</v>
      </c>
      <c r="Y48" s="6">
        <v>16876</v>
      </c>
      <c r="Z48" s="6">
        <v>2797</v>
      </c>
      <c r="AA48" s="7">
        <f>SUM(B48:Z48)</f>
        <v>321096</v>
      </c>
    </row>
    <row r="49" spans="1:27" x14ac:dyDescent="0.25">
      <c r="A49" s="4" t="s">
        <v>74</v>
      </c>
      <c r="B49" s="5"/>
      <c r="C49" s="5"/>
      <c r="D49" s="5"/>
      <c r="E49" s="5"/>
      <c r="F49" s="5"/>
      <c r="G49" s="5"/>
      <c r="H49" s="6">
        <v>1</v>
      </c>
      <c r="I49" s="6">
        <v>1</v>
      </c>
      <c r="J49" s="5"/>
      <c r="K49" s="6">
        <v>3</v>
      </c>
      <c r="L49" s="6">
        <v>1</v>
      </c>
      <c r="M49" s="6">
        <v>4</v>
      </c>
      <c r="N49" s="6">
        <v>2</v>
      </c>
      <c r="O49" s="6">
        <v>3</v>
      </c>
      <c r="P49" s="5"/>
      <c r="Q49" s="6">
        <v>9</v>
      </c>
      <c r="R49" s="6">
        <v>11</v>
      </c>
      <c r="S49" s="6">
        <v>58</v>
      </c>
      <c r="T49" s="6">
        <v>47</v>
      </c>
      <c r="U49" s="6">
        <v>24</v>
      </c>
      <c r="V49" s="6">
        <v>395</v>
      </c>
      <c r="W49" s="6">
        <v>21</v>
      </c>
      <c r="X49" s="6">
        <v>140</v>
      </c>
      <c r="Y49" s="6">
        <v>58</v>
      </c>
      <c r="Z49" s="6">
        <v>28</v>
      </c>
      <c r="AA49" s="7">
        <f>SUM(B49:Z49)</f>
        <v>806</v>
      </c>
    </row>
    <row r="50" spans="1:27" x14ac:dyDescent="0.25">
      <c r="A50" s="4" t="s">
        <v>75</v>
      </c>
      <c r="B50" s="5"/>
      <c r="C50" s="6">
        <v>2</v>
      </c>
      <c r="D50" s="5"/>
      <c r="E50" s="5"/>
      <c r="F50" s="5"/>
      <c r="G50" s="5"/>
      <c r="H50" s="5"/>
      <c r="I50" s="6">
        <v>1</v>
      </c>
      <c r="J50" s="5"/>
      <c r="K50" s="5"/>
      <c r="L50" s="5"/>
      <c r="M50" s="6">
        <v>2</v>
      </c>
      <c r="N50" s="6">
        <v>1</v>
      </c>
      <c r="O50" s="5"/>
      <c r="P50" s="5"/>
      <c r="Q50" s="5"/>
      <c r="R50" s="6">
        <v>3</v>
      </c>
      <c r="S50" s="6">
        <v>3</v>
      </c>
      <c r="T50" s="6">
        <v>4</v>
      </c>
      <c r="U50" s="6">
        <v>1</v>
      </c>
      <c r="V50" s="6">
        <v>5</v>
      </c>
      <c r="W50" s="6">
        <v>2</v>
      </c>
      <c r="X50" s="6">
        <v>9</v>
      </c>
      <c r="Y50" s="6">
        <v>9</v>
      </c>
      <c r="Z50" s="6">
        <v>3</v>
      </c>
      <c r="AA50" s="7">
        <f>SUM(B50:Z50)</f>
        <v>45</v>
      </c>
    </row>
    <row r="51" spans="1:27" x14ac:dyDescent="0.25">
      <c r="A51" s="4" t="s">
        <v>76</v>
      </c>
      <c r="B51" s="6">
        <v>2991</v>
      </c>
      <c r="C51" s="6">
        <v>2667</v>
      </c>
      <c r="D51" s="6">
        <v>2633</v>
      </c>
      <c r="E51" s="6">
        <v>3077</v>
      </c>
      <c r="F51" s="6">
        <v>2905</v>
      </c>
      <c r="G51" s="6">
        <v>6068</v>
      </c>
      <c r="H51" s="6">
        <v>2317</v>
      </c>
      <c r="I51" s="6">
        <v>2424</v>
      </c>
      <c r="J51" s="6">
        <v>2954</v>
      </c>
      <c r="K51" s="6">
        <v>4028</v>
      </c>
      <c r="L51" s="6">
        <v>3533</v>
      </c>
      <c r="M51" s="6">
        <v>3071</v>
      </c>
      <c r="N51" s="6">
        <v>2553</v>
      </c>
      <c r="O51" s="6">
        <v>2008</v>
      </c>
      <c r="P51" s="6">
        <v>4900</v>
      </c>
      <c r="Q51" s="6">
        <v>3368</v>
      </c>
      <c r="R51" s="6">
        <v>2707</v>
      </c>
      <c r="S51" s="6">
        <v>3672</v>
      </c>
      <c r="T51" s="6">
        <v>3038</v>
      </c>
      <c r="U51" s="6">
        <v>4013</v>
      </c>
      <c r="V51" s="6">
        <v>2852</v>
      </c>
      <c r="W51" s="6">
        <v>4145</v>
      </c>
      <c r="X51" s="6">
        <v>4169</v>
      </c>
      <c r="Y51" s="6">
        <v>8927</v>
      </c>
      <c r="Z51" s="6">
        <v>6169</v>
      </c>
      <c r="AA51" s="7">
        <f>SUM(B51:Z51)</f>
        <v>91189</v>
      </c>
    </row>
    <row r="52" spans="1:27" x14ac:dyDescent="0.25">
      <c r="A52" s="8" t="s">
        <v>77</v>
      </c>
      <c r="B52" s="9">
        <f t="shared" ref="B52:Z52" si="0">SUM(B2:B51)</f>
        <v>124414</v>
      </c>
      <c r="C52" s="9">
        <f t="shared" si="0"/>
        <v>119950</v>
      </c>
      <c r="D52" s="9">
        <f t="shared" si="0"/>
        <v>255334</v>
      </c>
      <c r="E52" s="9">
        <f t="shared" si="0"/>
        <v>156409</v>
      </c>
      <c r="F52" s="9">
        <f t="shared" si="0"/>
        <v>111735</v>
      </c>
      <c r="G52" s="9">
        <f t="shared" si="0"/>
        <v>197793</v>
      </c>
      <c r="H52" s="9">
        <f t="shared" si="0"/>
        <v>157476</v>
      </c>
      <c r="I52" s="9">
        <f t="shared" si="0"/>
        <v>211657</v>
      </c>
      <c r="J52" s="9">
        <f t="shared" si="0"/>
        <v>291641</v>
      </c>
      <c r="K52" s="9">
        <f t="shared" si="0"/>
        <v>115725</v>
      </c>
      <c r="L52" s="9">
        <f t="shared" si="0"/>
        <v>334371</v>
      </c>
      <c r="M52" s="9">
        <f t="shared" si="0"/>
        <v>189379</v>
      </c>
      <c r="N52" s="9">
        <f t="shared" si="0"/>
        <v>192172</v>
      </c>
      <c r="O52" s="9">
        <f t="shared" si="0"/>
        <v>229097</v>
      </c>
      <c r="P52" s="9">
        <f t="shared" si="0"/>
        <v>177509</v>
      </c>
      <c r="Q52" s="9">
        <f t="shared" si="0"/>
        <v>173988</v>
      </c>
      <c r="R52" s="9">
        <f t="shared" si="0"/>
        <v>195453</v>
      </c>
      <c r="S52" s="9">
        <f t="shared" si="0"/>
        <v>334369</v>
      </c>
      <c r="T52" s="9">
        <f t="shared" si="0"/>
        <v>239960</v>
      </c>
      <c r="U52" s="9">
        <f t="shared" si="0"/>
        <v>193191</v>
      </c>
      <c r="V52" s="9">
        <f t="shared" si="0"/>
        <v>435928</v>
      </c>
      <c r="W52" s="9">
        <f t="shared" si="0"/>
        <v>216500</v>
      </c>
      <c r="X52" s="9">
        <f t="shared" si="0"/>
        <v>357448</v>
      </c>
      <c r="Y52" s="9">
        <f t="shared" si="0"/>
        <v>262918</v>
      </c>
      <c r="Z52" s="9">
        <f t="shared" si="0"/>
        <v>250934</v>
      </c>
      <c r="AA52" s="9">
        <f>SUM(AA2:AA51)</f>
        <v>5525351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Cumulative Mosquitoes per year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Shepard, John</dc:creator>
  <cp:lastModifiedBy>Shepard, John</cp:lastModifiedBy>
  <dcterms:created xsi:type="dcterms:W3CDTF">2026-04-02T14:44:17Z</dcterms:created>
  <dcterms:modified xsi:type="dcterms:W3CDTF">2026-04-02T14:47:02Z</dcterms:modified>
</cp:coreProperties>
</file>